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opamine — Realistic" sheetId="3" state="visible" r:id="rId3"/>
    <sheet xmlns:r="http://schemas.openxmlformats.org/officeDocument/2006/relationships" name="Picky — Reali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1F4E78"/>
      <sz val="12"/>
    </font>
    <font>
      <b val="1"/>
      <color rgb="00FFFFFF"/>
      <sz val="11"/>
    </font>
    <font>
      <b val="1"/>
      <color rgb="00000000"/>
    </font>
    <font>
      <b val="1"/>
      <i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3" fontId="0" fillId="4" borderId="1" pivotButton="0" quotePrefix="0" xfId="0"/>
    <xf numFmtId="165" fontId="0" fillId="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3" borderId="0" pivotButton="0" quotePrefix="0" xfId="0"/>
    <xf numFmtId="0" fontId="0" fillId="4" borderId="0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Финансовая модель — сводка</t>
        </is>
      </c>
    </row>
    <row r="2">
      <c r="A2" s="2" t="inlineStr">
        <is>
          <t>Сравнение сценариев. Поменяйте input в Assumptions — всё пересчитается.</t>
        </is>
      </c>
    </row>
    <row r="4">
      <c r="A4" s="3" t="inlineStr">
        <is>
          <t>Метрика</t>
        </is>
      </c>
      <c r="B4" s="3" t="inlineStr">
        <is>
          <t>Dopamine (Realistic)</t>
        </is>
      </c>
      <c r="C4" s="3" t="inlineStr">
        <is>
          <t>Picky (Realistic)</t>
        </is>
      </c>
      <c r="D4" s="3" t="inlineStr">
        <is>
          <t>Разница</t>
        </is>
      </c>
    </row>
    <row r="5">
      <c r="A5" s="4" t="inlineStr">
        <is>
          <t>Downloads year 1</t>
        </is>
      </c>
      <c r="B5" s="5">
        <f>'Dopamine — Realistic'!N6</f>
        <v/>
      </c>
      <c r="C5" s="5">
        <f>'Picky — Realistic'!N6</f>
        <v/>
      </c>
      <c r="D5" s="5">
        <f>B5-C5</f>
        <v/>
      </c>
    </row>
    <row r="6">
      <c r="A6" s="4" t="inlineStr">
        <is>
          <t>Paying users at M12</t>
        </is>
      </c>
      <c r="B6" s="5">
        <f>'Dopamine — Realistic'!M9</f>
        <v/>
      </c>
      <c r="C6" s="5">
        <f>'Picky — Realistic'!M9</f>
        <v/>
      </c>
      <c r="D6" s="5">
        <f>B6-C6</f>
        <v/>
      </c>
    </row>
    <row r="7">
      <c r="A7" s="4" t="inlineStr">
        <is>
          <t>MRR at M12</t>
        </is>
      </c>
      <c r="B7" s="6">
        <f>'Dopamine — Realistic'!M11</f>
        <v/>
      </c>
      <c r="C7" s="6">
        <f>'Picky — Realistic'!M11</f>
        <v/>
      </c>
      <c r="D7" s="6">
        <f>B7-C7</f>
        <v/>
      </c>
    </row>
    <row r="8">
      <c r="A8" s="4" t="inlineStr">
        <is>
          <t>ARR (×12)</t>
        </is>
      </c>
      <c r="B8" s="6">
        <f>'Dopamine — Realistic'!M11*12</f>
        <v/>
      </c>
      <c r="C8" s="6">
        <f>'Picky — Realistic'!M11*12</f>
        <v/>
      </c>
      <c r="D8" s="6">
        <f>B8-C8</f>
        <v/>
      </c>
    </row>
    <row r="9">
      <c r="A9" s="4" t="inlineStr">
        <is>
          <t>Revenue year 1</t>
        </is>
      </c>
      <c r="B9" s="6">
        <f>'Dopamine — Realistic'!N12</f>
        <v/>
      </c>
      <c r="C9" s="6">
        <f>'Picky — Realistic'!N12</f>
        <v/>
      </c>
      <c r="D9" s="6">
        <f>B9-C9</f>
        <v/>
      </c>
    </row>
    <row r="10">
      <c r="A10" s="4" t="inlineStr">
        <is>
          <t>CAC spend year 1</t>
        </is>
      </c>
      <c r="B10" s="6">
        <f>'Dopamine — Realistic'!N13</f>
        <v/>
      </c>
      <c r="C10" s="6">
        <f>'Picky — Realistic'!N13</f>
        <v/>
      </c>
      <c r="D10" s="6">
        <f>B10-C10</f>
        <v/>
      </c>
    </row>
    <row r="11">
      <c r="A11" s="4" t="inlineStr">
        <is>
          <t>Net cash year 1</t>
        </is>
      </c>
      <c r="B11" s="6">
        <f>'Dopamine — Realistic'!N14</f>
        <v/>
      </c>
      <c r="C11" s="6">
        <f>'Picky — Realistic'!N15</f>
        <v/>
      </c>
      <c r="D11" s="6">
        <f>B11-C11</f>
        <v/>
      </c>
    </row>
    <row r="14">
      <c r="A14" s="7" t="inlineStr">
        <is>
          <t>Что говорит модель</t>
        </is>
      </c>
    </row>
    <row r="15" ht="30" customHeight="1">
      <c r="A15" s="8" t="inlineStr">
        <is>
          <t>Dopamine — solo-friendly: низкие издержки, высокий LTV/CAC, но потолок ниже из-за более узкой аудитории и низкой цены.</t>
        </is>
      </c>
    </row>
    <row r="16" ht="30" customHeight="1">
      <c r="A16" s="8" t="inlineStr">
        <is>
          <t>Picky — выше потолок MRR и контент-moat, но требует RDN-партнёра ($1500/мес fixed) и партнёрства до запуска. Без partnership = риск.</t>
        </is>
      </c>
    </row>
    <row r="18">
      <c r="A18" s="9" t="inlineStr">
        <is>
          <t>Откройте Assumptions, поменяйте жёлтые ячейки → пересчёт автоматический.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Financial Model — Assumptions</t>
        </is>
      </c>
    </row>
    <row r="2">
      <c r="A2" s="2" t="inlineStr">
        <is>
          <t>Edit yellow cells. Three scenarios per product.</t>
        </is>
      </c>
    </row>
    <row r="4">
      <c r="A4" s="7" t="inlineStr">
        <is>
          <t>Dopamine fasting</t>
        </is>
      </c>
    </row>
    <row r="5">
      <c r="A5" s="3" t="inlineStr">
        <is>
          <t>Parameter</t>
        </is>
      </c>
      <c r="B5" s="3" t="inlineStr">
        <is>
          <t>Pessimistic</t>
        </is>
      </c>
      <c r="C5" s="3" t="inlineStr">
        <is>
          <t>Realistic</t>
        </is>
      </c>
      <c r="D5" s="3" t="inlineStr">
        <is>
          <t>Optimistic</t>
        </is>
      </c>
    </row>
    <row r="6">
      <c r="A6" s="4" t="inlineStr">
        <is>
          <t>Month 1 installs</t>
        </is>
      </c>
      <c r="B6" s="10" t="n">
        <v>200</v>
      </c>
      <c r="C6" s="10" t="n">
        <v>500</v>
      </c>
      <c r="D6" s="10" t="n">
        <v>1000</v>
      </c>
    </row>
    <row r="7">
      <c r="A7" s="4" t="inlineStr">
        <is>
          <t>Monthly install growth rate</t>
        </is>
      </c>
      <c r="B7" s="11" t="n">
        <v>0.2</v>
      </c>
      <c r="C7" s="11" t="n">
        <v>0.4</v>
      </c>
      <c r="D7" s="11" t="n">
        <v>0.6</v>
      </c>
    </row>
    <row r="8">
      <c r="A8" s="4" t="inlineStr">
        <is>
          <t>Install → trial start (after Family Controls auth)</t>
        </is>
      </c>
      <c r="B8" s="11" t="n">
        <v>0.1</v>
      </c>
      <c r="C8" s="11" t="n">
        <v>0.15</v>
      </c>
      <c r="D8" s="11" t="n">
        <v>0.2</v>
      </c>
    </row>
    <row r="9">
      <c r="A9" s="4" t="inlineStr">
        <is>
          <t>Trial → paid conversion</t>
        </is>
      </c>
      <c r="B9" s="11" t="n">
        <v>0.2</v>
      </c>
      <c r="C9" s="11" t="n">
        <v>0.3</v>
      </c>
      <c r="D9" s="11" t="n">
        <v>0.4</v>
      </c>
    </row>
    <row r="10">
      <c r="A10" s="4" t="inlineStr">
        <is>
          <t>Annual subscriber share (vs monthly)</t>
        </is>
      </c>
      <c r="B10" s="11" t="n">
        <v>0.5</v>
      </c>
      <c r="C10" s="11" t="n">
        <v>0.6</v>
      </c>
      <c r="D10" s="11" t="n">
        <v>0.7</v>
      </c>
    </row>
    <row r="11">
      <c r="A11" s="4" t="inlineStr">
        <is>
          <t>Monthly subscription price ($)</t>
        </is>
      </c>
      <c r="B11" s="12" t="n">
        <v>5.99</v>
      </c>
      <c r="C11" s="12" t="n">
        <v>5.99</v>
      </c>
      <c r="D11" s="12" t="n">
        <v>5.99</v>
      </c>
    </row>
    <row r="12">
      <c r="A12" s="4" t="inlineStr">
        <is>
          <t>Annual subscription price ($)</t>
        </is>
      </c>
      <c r="B12" s="12" t="n">
        <v>39.99</v>
      </c>
      <c r="C12" s="12" t="n">
        <v>39.99</v>
      </c>
      <c r="D12" s="12" t="n">
        <v>39.99</v>
      </c>
    </row>
    <row r="13">
      <c r="A13" s="4" t="inlineStr">
        <is>
          <t>Monthly churn (paying users)</t>
        </is>
      </c>
      <c r="B13" s="11" t="n">
        <v>0.1</v>
      </c>
      <c r="C13" s="11" t="n">
        <v>0.06</v>
      </c>
      <c r="D13" s="11" t="n">
        <v>0.04</v>
      </c>
    </row>
    <row r="14">
      <c r="A14" s="4" t="inlineStr">
        <is>
          <t>Blended CAC per paid user ($)</t>
        </is>
      </c>
      <c r="B14" s="12" t="n">
        <v>40</v>
      </c>
      <c r="C14" s="12" t="n">
        <v>15</v>
      </c>
      <c r="D14" s="12" t="n">
        <v>5</v>
      </c>
    </row>
    <row r="17">
      <c r="A17" s="7" t="inlineStr">
        <is>
          <t>Picky eater toddler</t>
        </is>
      </c>
    </row>
    <row r="18">
      <c r="A18" s="3" t="inlineStr">
        <is>
          <t>Parameter</t>
        </is>
      </c>
      <c r="B18" s="3" t="inlineStr">
        <is>
          <t>Pessimistic</t>
        </is>
      </c>
      <c r="C18" s="3" t="inlineStr">
        <is>
          <t>Realistic</t>
        </is>
      </c>
      <c r="D18" s="3" t="inlineStr">
        <is>
          <t>Optimistic</t>
        </is>
      </c>
    </row>
    <row r="19">
      <c r="A19" s="4" t="inlineStr">
        <is>
          <t>Month 1 installs</t>
        </is>
      </c>
      <c r="B19" s="10" t="n">
        <v>100</v>
      </c>
      <c r="C19" s="10" t="n">
        <v>300</v>
      </c>
      <c r="D19" s="10" t="n">
        <v>600</v>
      </c>
    </row>
    <row r="20">
      <c r="A20" s="4" t="inlineStr">
        <is>
          <t>Monthly install growth rate</t>
        </is>
      </c>
      <c r="B20" s="11" t="n">
        <v>0.2</v>
      </c>
      <c r="C20" s="11" t="n">
        <v>0.35</v>
      </c>
      <c r="D20" s="11" t="n">
        <v>0.5</v>
      </c>
    </row>
    <row r="21">
      <c r="A21" s="4" t="inlineStr">
        <is>
          <t>Install → trial start</t>
        </is>
      </c>
      <c r="B21" s="11" t="n">
        <v>0.2</v>
      </c>
      <c r="C21" s="11" t="n">
        <v>0.25</v>
      </c>
      <c r="D21" s="11" t="n">
        <v>0.3</v>
      </c>
    </row>
    <row r="22">
      <c r="A22" s="4" t="inlineStr">
        <is>
          <t>Trial → paid conversion</t>
        </is>
      </c>
      <c r="B22" s="11" t="n">
        <v>0.2</v>
      </c>
      <c r="C22" s="11" t="n">
        <v>0.25</v>
      </c>
      <c r="D22" s="11" t="n">
        <v>0.35</v>
      </c>
    </row>
    <row r="23">
      <c r="A23" s="4" t="inlineStr">
        <is>
          <t>Monthly sub share</t>
        </is>
      </c>
      <c r="B23" s="11" t="n">
        <v>0.5</v>
      </c>
      <c r="C23" s="11" t="n">
        <v>0.5</v>
      </c>
      <c r="D23" s="11" t="n">
        <v>0.4</v>
      </c>
    </row>
    <row r="24">
      <c r="A24" s="4" t="inlineStr">
        <is>
          <t>Annual sub share</t>
        </is>
      </c>
      <c r="B24" s="11" t="n">
        <v>0.35</v>
      </c>
      <c r="C24" s="11" t="n">
        <v>0.35</v>
      </c>
      <c r="D24" s="11" t="n">
        <v>0.4</v>
      </c>
    </row>
    <row r="25">
      <c r="A25" s="4" t="inlineStr">
        <is>
          <t>Family sub share</t>
        </is>
      </c>
      <c r="B25" s="11" t="n">
        <v>0.15</v>
      </c>
      <c r="C25" s="11" t="n">
        <v>0.15</v>
      </c>
      <c r="D25" s="11" t="n">
        <v>0.2</v>
      </c>
    </row>
    <row r="26">
      <c r="A26" s="4" t="inlineStr">
        <is>
          <t>Monthly subscription ($)</t>
        </is>
      </c>
      <c r="B26" s="12" t="n">
        <v>9.99</v>
      </c>
      <c r="C26" s="12" t="n">
        <v>9.99</v>
      </c>
      <c r="D26" s="12" t="n">
        <v>9.99</v>
      </c>
    </row>
    <row r="27">
      <c r="A27" s="4" t="inlineStr">
        <is>
          <t>Annual subscription ($/yr)</t>
        </is>
      </c>
      <c r="B27" s="12" t="n">
        <v>59</v>
      </c>
      <c r="C27" s="12" t="n">
        <v>59</v>
      </c>
      <c r="D27" s="12" t="n">
        <v>59</v>
      </c>
    </row>
    <row r="28">
      <c r="A28" s="4" t="inlineStr">
        <is>
          <t>Family monthly ($)</t>
        </is>
      </c>
      <c r="B28" s="12" t="n">
        <v>14.99</v>
      </c>
      <c r="C28" s="12" t="n">
        <v>14.99</v>
      </c>
      <c r="D28" s="12" t="n">
        <v>14.99</v>
      </c>
    </row>
    <row r="29">
      <c r="A29" s="4" t="inlineStr">
        <is>
          <t>Monthly churn (paying)</t>
        </is>
      </c>
      <c r="B29" s="11" t="n">
        <v>0.15</v>
      </c>
      <c r="C29" s="11" t="n">
        <v>0.1</v>
      </c>
      <c r="D29" s="11" t="n">
        <v>0.07000000000000001</v>
      </c>
    </row>
    <row r="30">
      <c r="A30" s="4" t="inlineStr">
        <is>
          <t>Blended CAC per paid user ($)</t>
        </is>
      </c>
      <c r="B30" s="12" t="n">
        <v>100</v>
      </c>
      <c r="C30" s="12" t="n">
        <v>45</v>
      </c>
      <c r="D30" s="12" t="n">
        <v>20</v>
      </c>
    </row>
    <row r="31">
      <c r="A31" s="4" t="inlineStr">
        <is>
          <t>Fixed monthly costs — RDN partner ($)</t>
        </is>
      </c>
      <c r="B31" s="12" t="n">
        <v>1500</v>
      </c>
      <c r="C31" s="12" t="n">
        <v>1500</v>
      </c>
      <c r="D31" s="12" t="n">
        <v>1500</v>
      </c>
    </row>
    <row r="32">
      <c r="A32" s="4" t="inlineStr">
        <is>
          <t>Fixed monthly costs — infrastructure ($)</t>
        </is>
      </c>
      <c r="B32" s="12" t="n">
        <v>300</v>
      </c>
      <c r="C32" s="12" t="n">
        <v>300</v>
      </c>
      <c r="D32" s="12" t="n">
        <v>300</v>
      </c>
    </row>
    <row r="36">
      <c r="A36" s="4" t="inlineStr">
        <is>
          <t>Legend:</t>
        </is>
      </c>
    </row>
    <row r="37">
      <c r="A37" s="13" t="inlineStr">
        <is>
          <t>Yellow — input (edit me)</t>
        </is>
      </c>
    </row>
    <row r="38">
      <c r="A38" s="14" t="inlineStr">
        <is>
          <t>Gray — calculated (don't edit)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Dopamine fasting — 12-month projection (Realistic scenario)</t>
        </is>
      </c>
    </row>
    <row r="2">
      <c r="A2" s="2" t="inlineStr">
        <is>
          <t>Change scenario by editing formulas (default reads from Assumptions col C). Inputs in Assumptions sheet.</t>
        </is>
      </c>
    </row>
    <row r="4">
      <c r="A4" s="3" t="inlineStr">
        <is>
          <t>Metric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Year</t>
        </is>
      </c>
    </row>
    <row r="5">
      <c r="A5" s="4" t="inlineStr">
        <is>
          <t>Monthly installs</t>
        </is>
      </c>
      <c r="B5" s="5">
        <f>Assumptions!C6</f>
        <v/>
      </c>
      <c r="C5" s="5">
        <f>B5*(1+Assumptions!C7)</f>
        <v/>
      </c>
      <c r="D5" s="5">
        <f>C5*(1+Assumptions!C7)</f>
        <v/>
      </c>
      <c r="E5" s="5">
        <f>D5*(1+Assumptions!C7)</f>
        <v/>
      </c>
      <c r="F5" s="5">
        <f>E5*(1+Assumptions!C7)</f>
        <v/>
      </c>
      <c r="G5" s="5">
        <f>F5*(1+Assumptions!C7)</f>
        <v/>
      </c>
      <c r="H5" s="5">
        <f>G5*(1+Assumptions!C7)</f>
        <v/>
      </c>
      <c r="I5" s="5">
        <f>H5*(1+Assumptions!C7)</f>
        <v/>
      </c>
      <c r="J5" s="5">
        <f>I5*(1+Assumptions!C7)</f>
        <v/>
      </c>
      <c r="K5" s="5">
        <f>J5*(1+Assumptions!C7)</f>
        <v/>
      </c>
      <c r="L5" s="5">
        <f>K5*(1+Assumptions!C7)</f>
        <v/>
      </c>
      <c r="M5" s="5">
        <f>L5*(1+Assumptions!C7)</f>
        <v/>
      </c>
      <c r="N5" s="5">
        <f>SUM(B5:M5)</f>
        <v/>
      </c>
    </row>
    <row r="6">
      <c r="A6" s="4" t="inlineStr">
        <is>
          <t>Cumulative installs</t>
        </is>
      </c>
      <c r="B6" s="5">
        <f>B5</f>
        <v/>
      </c>
      <c r="C6" s="5">
        <f>B6+C5</f>
        <v/>
      </c>
      <c r="D6" s="5">
        <f>C6+D5</f>
        <v/>
      </c>
      <c r="E6" s="5">
        <f>D6+E5</f>
        <v/>
      </c>
      <c r="F6" s="5">
        <f>E6+F5</f>
        <v/>
      </c>
      <c r="G6" s="5">
        <f>F6+G5</f>
        <v/>
      </c>
      <c r="H6" s="5">
        <f>G6+H5</f>
        <v/>
      </c>
      <c r="I6" s="5">
        <f>H6+I5</f>
        <v/>
      </c>
      <c r="J6" s="5">
        <f>I6+J5</f>
        <v/>
      </c>
      <c r="K6" s="5">
        <f>J6+K5</f>
        <v/>
      </c>
      <c r="L6" s="5">
        <f>K6+L5</f>
        <v/>
      </c>
      <c r="M6" s="5">
        <f>L6+M5</f>
        <v/>
      </c>
      <c r="N6" s="5">
        <f>M6</f>
        <v/>
      </c>
    </row>
    <row r="7">
      <c r="A7" s="4" t="inlineStr">
        <is>
          <t>Trials started</t>
        </is>
      </c>
      <c r="B7" s="5">
        <f>B5*Assumptions!C8</f>
        <v/>
      </c>
      <c r="C7" s="5">
        <f>C5*Assumptions!C8</f>
        <v/>
      </c>
      <c r="D7" s="5">
        <f>D5*Assumptions!C8</f>
        <v/>
      </c>
      <c r="E7" s="5">
        <f>E5*Assumptions!C8</f>
        <v/>
      </c>
      <c r="F7" s="5">
        <f>F5*Assumptions!C8</f>
        <v/>
      </c>
      <c r="G7" s="5">
        <f>G5*Assumptions!C8</f>
        <v/>
      </c>
      <c r="H7" s="5">
        <f>H5*Assumptions!C8</f>
        <v/>
      </c>
      <c r="I7" s="5">
        <f>I5*Assumptions!C8</f>
        <v/>
      </c>
      <c r="J7" s="5">
        <f>J5*Assumptions!C8</f>
        <v/>
      </c>
      <c r="K7" s="5">
        <f>K5*Assumptions!C8</f>
        <v/>
      </c>
      <c r="L7" s="5">
        <f>L5*Assumptions!C8</f>
        <v/>
      </c>
      <c r="M7" s="5">
        <f>M5*Assumptions!C8</f>
        <v/>
      </c>
      <c r="N7" s="5">
        <f>SUM(B7:M7)</f>
        <v/>
      </c>
    </row>
    <row r="8">
      <c r="A8" s="4" t="inlineStr">
        <is>
          <t>New paying this month</t>
        </is>
      </c>
      <c r="B8" s="5">
        <f>B7*Assumptions!C9</f>
        <v/>
      </c>
      <c r="C8" s="5">
        <f>C7*Assumptions!C9</f>
        <v/>
      </c>
      <c r="D8" s="5">
        <f>D7*Assumptions!C9</f>
        <v/>
      </c>
      <c r="E8" s="5">
        <f>E7*Assumptions!C9</f>
        <v/>
      </c>
      <c r="F8" s="5">
        <f>F7*Assumptions!C9</f>
        <v/>
      </c>
      <c r="G8" s="5">
        <f>G7*Assumptions!C9</f>
        <v/>
      </c>
      <c r="H8" s="5">
        <f>H7*Assumptions!C9</f>
        <v/>
      </c>
      <c r="I8" s="5">
        <f>I7*Assumptions!C9</f>
        <v/>
      </c>
      <c r="J8" s="5">
        <f>J7*Assumptions!C9</f>
        <v/>
      </c>
      <c r="K8" s="5">
        <f>K7*Assumptions!C9</f>
        <v/>
      </c>
      <c r="L8" s="5">
        <f>L7*Assumptions!C9</f>
        <v/>
      </c>
      <c r="M8" s="5">
        <f>M7*Assumptions!C9</f>
        <v/>
      </c>
      <c r="N8" s="5">
        <f>SUM(B8:M8)</f>
        <v/>
      </c>
    </row>
    <row r="9">
      <c r="A9" s="4" t="inlineStr">
        <is>
          <t>Active paying users (after churn)</t>
        </is>
      </c>
      <c r="B9" s="5">
        <f>B8</f>
        <v/>
      </c>
      <c r="C9" s="5">
        <f>B9*(1-Assumptions!C13)+C8</f>
        <v/>
      </c>
      <c r="D9" s="5">
        <f>C9*(1-Assumptions!C13)+D8</f>
        <v/>
      </c>
      <c r="E9" s="5">
        <f>D9*(1-Assumptions!C13)+E8</f>
        <v/>
      </c>
      <c r="F9" s="5">
        <f>E9*(1-Assumptions!C13)+F8</f>
        <v/>
      </c>
      <c r="G9" s="5">
        <f>F9*(1-Assumptions!C13)+G8</f>
        <v/>
      </c>
      <c r="H9" s="5">
        <f>G9*(1-Assumptions!C13)+H8</f>
        <v/>
      </c>
      <c r="I9" s="5">
        <f>H9*(1-Assumptions!C13)+I8</f>
        <v/>
      </c>
      <c r="J9" s="5">
        <f>I9*(1-Assumptions!C13)+J8</f>
        <v/>
      </c>
      <c r="K9" s="5">
        <f>J9*(1-Assumptions!C13)+K8</f>
        <v/>
      </c>
      <c r="L9" s="5">
        <f>K9*(1-Assumptions!C13)+L8</f>
        <v/>
      </c>
      <c r="M9" s="5">
        <f>L9*(1-Assumptions!C13)+M8</f>
        <v/>
      </c>
      <c r="N9" s="5">
        <f>M9</f>
        <v/>
      </c>
    </row>
    <row r="10">
      <c r="A10" s="4" t="inlineStr">
        <is>
          <t>ARPU per paying user / mo ($)</t>
        </is>
      </c>
      <c r="B10" s="15">
        <f>Assumptions!C10*(Assumptions!C12/12)+(1-Assumptions!C10)*Assumptions!C11</f>
        <v/>
      </c>
      <c r="C10" s="15">
        <f>Assumptions!C10*(Assumptions!C12/12)+(1-Assumptions!C10)*Assumptions!C11</f>
        <v/>
      </c>
      <c r="D10" s="15">
        <f>Assumptions!C10*(Assumptions!C12/12)+(1-Assumptions!C10)*Assumptions!C11</f>
        <v/>
      </c>
      <c r="E10" s="15">
        <f>Assumptions!C10*(Assumptions!C12/12)+(1-Assumptions!C10)*Assumptions!C11</f>
        <v/>
      </c>
      <c r="F10" s="15">
        <f>Assumptions!C10*(Assumptions!C12/12)+(1-Assumptions!C10)*Assumptions!C11</f>
        <v/>
      </c>
      <c r="G10" s="15">
        <f>Assumptions!C10*(Assumptions!C12/12)+(1-Assumptions!C10)*Assumptions!C11</f>
        <v/>
      </c>
      <c r="H10" s="15">
        <f>Assumptions!C10*(Assumptions!C12/12)+(1-Assumptions!C10)*Assumptions!C11</f>
        <v/>
      </c>
      <c r="I10" s="15">
        <f>Assumptions!C10*(Assumptions!C12/12)+(1-Assumptions!C10)*Assumptions!C11</f>
        <v/>
      </c>
      <c r="J10" s="15">
        <f>Assumptions!C10*(Assumptions!C12/12)+(1-Assumptions!C10)*Assumptions!C11</f>
        <v/>
      </c>
      <c r="K10" s="15">
        <f>Assumptions!C10*(Assumptions!C12/12)+(1-Assumptions!C10)*Assumptions!C11</f>
        <v/>
      </c>
      <c r="L10" s="15">
        <f>Assumptions!C10*(Assumptions!C12/12)+(1-Assumptions!C10)*Assumptions!C11</f>
        <v/>
      </c>
      <c r="M10" s="15">
        <f>Assumptions!C10*(Assumptions!C12/12)+(1-Assumptions!C10)*Assumptions!C11</f>
        <v/>
      </c>
      <c r="N10" s="15">
        <f>M10</f>
        <v/>
      </c>
    </row>
    <row r="11">
      <c r="A11" s="4" t="inlineStr">
        <is>
          <t>MRR ($)</t>
        </is>
      </c>
      <c r="B11" s="6">
        <f>B9*B10</f>
        <v/>
      </c>
      <c r="C11" s="6">
        <f>C9*C10</f>
        <v/>
      </c>
      <c r="D11" s="6">
        <f>D9*D10</f>
        <v/>
      </c>
      <c r="E11" s="6">
        <f>E9*E10</f>
        <v/>
      </c>
      <c r="F11" s="6">
        <f>F9*F10</f>
        <v/>
      </c>
      <c r="G11" s="6">
        <f>G9*G10</f>
        <v/>
      </c>
      <c r="H11" s="6">
        <f>H9*H10</f>
        <v/>
      </c>
      <c r="I11" s="6">
        <f>I9*I10</f>
        <v/>
      </c>
      <c r="J11" s="6">
        <f>J9*J10</f>
        <v/>
      </c>
      <c r="K11" s="6">
        <f>K9*K10</f>
        <v/>
      </c>
      <c r="L11" s="6">
        <f>L9*L10</f>
        <v/>
      </c>
      <c r="M11" s="6">
        <f>M9*M10</f>
        <v/>
      </c>
      <c r="N11" s="6">
        <f>M11</f>
        <v/>
      </c>
    </row>
    <row r="12">
      <c r="A12" s="4" t="inlineStr">
        <is>
          <t>Monthly revenue ($)</t>
        </is>
      </c>
      <c r="B12" s="6">
        <f>B11</f>
        <v/>
      </c>
      <c r="C12" s="6">
        <f>C11</f>
        <v/>
      </c>
      <c r="D12" s="6">
        <f>D11</f>
        <v/>
      </c>
      <c r="E12" s="6">
        <f>E11</f>
        <v/>
      </c>
      <c r="F12" s="6">
        <f>F11</f>
        <v/>
      </c>
      <c r="G12" s="6">
        <f>G11</f>
        <v/>
      </c>
      <c r="H12" s="6">
        <f>H11</f>
        <v/>
      </c>
      <c r="I12" s="6">
        <f>I11</f>
        <v/>
      </c>
      <c r="J12" s="6">
        <f>J11</f>
        <v/>
      </c>
      <c r="K12" s="6">
        <f>K11</f>
        <v/>
      </c>
      <c r="L12" s="6">
        <f>L11</f>
        <v/>
      </c>
      <c r="M12" s="6">
        <f>M11</f>
        <v/>
      </c>
      <c r="N12" s="6">
        <f>SUM(B12:M12)</f>
        <v/>
      </c>
    </row>
    <row r="13">
      <c r="A13" s="4" t="inlineStr">
        <is>
          <t>CAC spend ($)</t>
        </is>
      </c>
      <c r="B13" s="6">
        <f>B8*Assumptions!C14</f>
        <v/>
      </c>
      <c r="C13" s="6">
        <f>C8*Assumptions!C14</f>
        <v/>
      </c>
      <c r="D13" s="6">
        <f>D8*Assumptions!C14</f>
        <v/>
      </c>
      <c r="E13" s="6">
        <f>E8*Assumptions!C14</f>
        <v/>
      </c>
      <c r="F13" s="6">
        <f>F8*Assumptions!C14</f>
        <v/>
      </c>
      <c r="G13" s="6">
        <f>G8*Assumptions!C14</f>
        <v/>
      </c>
      <c r="H13" s="6">
        <f>H8*Assumptions!C14</f>
        <v/>
      </c>
      <c r="I13" s="6">
        <f>I8*Assumptions!C14</f>
        <v/>
      </c>
      <c r="J13" s="6">
        <f>J8*Assumptions!C14</f>
        <v/>
      </c>
      <c r="K13" s="6">
        <f>K8*Assumptions!C14</f>
        <v/>
      </c>
      <c r="L13" s="6">
        <f>L8*Assumptions!C14</f>
        <v/>
      </c>
      <c r="M13" s="6">
        <f>M8*Assumptions!C14</f>
        <v/>
      </c>
      <c r="N13" s="6">
        <f>SUM(B13:M13)</f>
        <v/>
      </c>
    </row>
    <row r="14">
      <c r="A14" s="4" t="inlineStr">
        <is>
          <t>Net cash flow ($)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SUM(B14:M14)</f>
        <v/>
      </c>
    </row>
    <row r="15">
      <c r="A15" s="4" t="inlineStr">
        <is>
          <t>Cumulative cash ($)</t>
        </is>
      </c>
      <c r="B15" s="6">
        <f>B14</f>
        <v/>
      </c>
      <c r="C15" s="6">
        <f>B15+C14</f>
        <v/>
      </c>
      <c r="D15" s="6">
        <f>C15+D14</f>
        <v/>
      </c>
      <c r="E15" s="6">
        <f>D15+E14</f>
        <v/>
      </c>
      <c r="F15" s="6">
        <f>E15+F14</f>
        <v/>
      </c>
      <c r="G15" s="6">
        <f>F15+G14</f>
        <v/>
      </c>
      <c r="H15" s="6">
        <f>G15+H14</f>
        <v/>
      </c>
      <c r="I15" s="6">
        <f>H15+I14</f>
        <v/>
      </c>
      <c r="J15" s="6">
        <f>I15+J14</f>
        <v/>
      </c>
      <c r="K15" s="6">
        <f>J15+K14</f>
        <v/>
      </c>
      <c r="L15" s="6">
        <f>K15+L14</f>
        <v/>
      </c>
      <c r="M15" s="6">
        <f>L15+M14</f>
        <v/>
      </c>
      <c r="N15" s="6">
        <f>M15</f>
        <v/>
      </c>
    </row>
    <row r="18">
      <c r="A18" s="7" t="inlineStr">
        <is>
          <t>Year-end snapshot</t>
        </is>
      </c>
    </row>
    <row r="19">
      <c r="A19" t="inlineStr">
        <is>
          <t>Total downloads</t>
        </is>
      </c>
      <c r="B19" s="5">
        <f>N6</f>
        <v/>
      </c>
    </row>
    <row r="20">
      <c r="A20" t="inlineStr">
        <is>
          <t>Active paying users</t>
        </is>
      </c>
      <c r="B20" s="5">
        <f>M9</f>
        <v/>
      </c>
    </row>
    <row r="21">
      <c r="A21" t="inlineStr">
        <is>
          <t>MRR at month 12</t>
        </is>
      </c>
      <c r="B21" s="6">
        <f>M11</f>
        <v/>
      </c>
    </row>
    <row r="22">
      <c r="A22" t="inlineStr">
        <is>
          <t>ARR (MRR × 12)</t>
        </is>
      </c>
      <c r="B22" s="6">
        <f>B21*12</f>
        <v/>
      </c>
    </row>
    <row r="23">
      <c r="A23" t="inlineStr">
        <is>
          <t>Total revenue year 1</t>
        </is>
      </c>
      <c r="B23" s="6">
        <f>N12</f>
        <v/>
      </c>
    </row>
    <row r="24">
      <c r="A24" t="inlineStr">
        <is>
          <t>Total CAC spend</t>
        </is>
      </c>
      <c r="B24" s="6">
        <f>N13</f>
        <v/>
      </c>
    </row>
    <row r="25">
      <c r="A25" t="inlineStr">
        <is>
          <t>Net cash year 1</t>
        </is>
      </c>
      <c r="B25" s="6">
        <f>N14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Picky eater — 12-month projection (Realistic scenario)</t>
        </is>
      </c>
    </row>
    <row r="2">
      <c r="A2" s="2" t="inlineStr">
        <is>
          <t>Change scenario by editing formulas (default reads from Assumptions col C). Inputs in Assumptions sheet.</t>
        </is>
      </c>
    </row>
    <row r="4">
      <c r="A4" s="3" t="inlineStr">
        <is>
          <t>Metric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Year</t>
        </is>
      </c>
    </row>
    <row r="5">
      <c r="A5" s="4" t="inlineStr">
        <is>
          <t>Monthly installs</t>
        </is>
      </c>
      <c r="B5" s="5">
        <f>Assumptions!C19</f>
        <v/>
      </c>
      <c r="C5" s="5">
        <f>B5*(1+Assumptions!C20)</f>
        <v/>
      </c>
      <c r="D5" s="5">
        <f>C5*(1+Assumptions!C20)</f>
        <v/>
      </c>
      <c r="E5" s="5">
        <f>D5*(1+Assumptions!C20)</f>
        <v/>
      </c>
      <c r="F5" s="5">
        <f>E5*(1+Assumptions!C20)</f>
        <v/>
      </c>
      <c r="G5" s="5">
        <f>F5*(1+Assumptions!C20)</f>
        <v/>
      </c>
      <c r="H5" s="5">
        <f>G5*(1+Assumptions!C20)</f>
        <v/>
      </c>
      <c r="I5" s="5">
        <f>H5*(1+Assumptions!C20)</f>
        <v/>
      </c>
      <c r="J5" s="5">
        <f>I5*(1+Assumptions!C20)</f>
        <v/>
      </c>
      <c r="K5" s="5">
        <f>J5*(1+Assumptions!C20)</f>
        <v/>
      </c>
      <c r="L5" s="5">
        <f>K5*(1+Assumptions!C20)</f>
        <v/>
      </c>
      <c r="M5" s="5">
        <f>L5*(1+Assumptions!C20)</f>
        <v/>
      </c>
      <c r="N5" s="5">
        <f>SUM(B5:M5)</f>
        <v/>
      </c>
    </row>
    <row r="6">
      <c r="A6" s="4" t="inlineStr">
        <is>
          <t>Cumulative installs</t>
        </is>
      </c>
      <c r="B6" s="5">
        <f>B5</f>
        <v/>
      </c>
      <c r="C6" s="5">
        <f>B6+C5</f>
        <v/>
      </c>
      <c r="D6" s="5">
        <f>C6+D5</f>
        <v/>
      </c>
      <c r="E6" s="5">
        <f>D6+E5</f>
        <v/>
      </c>
      <c r="F6" s="5">
        <f>E6+F5</f>
        <v/>
      </c>
      <c r="G6" s="5">
        <f>F6+G5</f>
        <v/>
      </c>
      <c r="H6" s="5">
        <f>G6+H5</f>
        <v/>
      </c>
      <c r="I6" s="5">
        <f>H6+I5</f>
        <v/>
      </c>
      <c r="J6" s="5">
        <f>I6+J5</f>
        <v/>
      </c>
      <c r="K6" s="5">
        <f>J6+K5</f>
        <v/>
      </c>
      <c r="L6" s="5">
        <f>K6+L5</f>
        <v/>
      </c>
      <c r="M6" s="5">
        <f>L6+M5</f>
        <v/>
      </c>
      <c r="N6" s="5">
        <f>M6</f>
        <v/>
      </c>
    </row>
    <row r="7">
      <c r="A7" s="4" t="inlineStr">
        <is>
          <t>Trials started</t>
        </is>
      </c>
      <c r="B7" s="5">
        <f>B5*Assumptions!C21</f>
        <v/>
      </c>
      <c r="C7" s="5">
        <f>C5*Assumptions!C21</f>
        <v/>
      </c>
      <c r="D7" s="5">
        <f>D5*Assumptions!C21</f>
        <v/>
      </c>
      <c r="E7" s="5">
        <f>E5*Assumptions!C21</f>
        <v/>
      </c>
      <c r="F7" s="5">
        <f>F5*Assumptions!C21</f>
        <v/>
      </c>
      <c r="G7" s="5">
        <f>G5*Assumptions!C21</f>
        <v/>
      </c>
      <c r="H7" s="5">
        <f>H5*Assumptions!C21</f>
        <v/>
      </c>
      <c r="I7" s="5">
        <f>I5*Assumptions!C21</f>
        <v/>
      </c>
      <c r="J7" s="5">
        <f>J5*Assumptions!C21</f>
        <v/>
      </c>
      <c r="K7" s="5">
        <f>K5*Assumptions!C21</f>
        <v/>
      </c>
      <c r="L7" s="5">
        <f>L5*Assumptions!C21</f>
        <v/>
      </c>
      <c r="M7" s="5">
        <f>M5*Assumptions!C21</f>
        <v/>
      </c>
      <c r="N7" s="5">
        <f>SUM(B7:M7)</f>
        <v/>
      </c>
    </row>
    <row r="8">
      <c r="A8" s="4" t="inlineStr">
        <is>
          <t>New paying this month</t>
        </is>
      </c>
      <c r="B8" s="5">
        <f>B7*Assumptions!C22</f>
        <v/>
      </c>
      <c r="C8" s="5">
        <f>C7*Assumptions!C22</f>
        <v/>
      </c>
      <c r="D8" s="5">
        <f>D7*Assumptions!C22</f>
        <v/>
      </c>
      <c r="E8" s="5">
        <f>E7*Assumptions!C22</f>
        <v/>
      </c>
      <c r="F8" s="5">
        <f>F7*Assumptions!C22</f>
        <v/>
      </c>
      <c r="G8" s="5">
        <f>G7*Assumptions!C22</f>
        <v/>
      </c>
      <c r="H8" s="5">
        <f>H7*Assumptions!C22</f>
        <v/>
      </c>
      <c r="I8" s="5">
        <f>I7*Assumptions!C22</f>
        <v/>
      </c>
      <c r="J8" s="5">
        <f>J7*Assumptions!C22</f>
        <v/>
      </c>
      <c r="K8" s="5">
        <f>K7*Assumptions!C22</f>
        <v/>
      </c>
      <c r="L8" s="5">
        <f>L7*Assumptions!C22</f>
        <v/>
      </c>
      <c r="M8" s="5">
        <f>M7*Assumptions!C22</f>
        <v/>
      </c>
      <c r="N8" s="5">
        <f>SUM(B8:M8)</f>
        <v/>
      </c>
    </row>
    <row r="9">
      <c r="A9" s="4" t="inlineStr">
        <is>
          <t>Active paying users (after churn)</t>
        </is>
      </c>
      <c r="B9" s="5">
        <f>B8</f>
        <v/>
      </c>
      <c r="C9" s="5">
        <f>B9*(1-Assumptions!C29)+C8</f>
        <v/>
      </c>
      <c r="D9" s="5">
        <f>C9*(1-Assumptions!C29)+D8</f>
        <v/>
      </c>
      <c r="E9" s="5">
        <f>D9*(1-Assumptions!C29)+E8</f>
        <v/>
      </c>
      <c r="F9" s="5">
        <f>E9*(1-Assumptions!C29)+F8</f>
        <v/>
      </c>
      <c r="G9" s="5">
        <f>F9*(1-Assumptions!C29)+G8</f>
        <v/>
      </c>
      <c r="H9" s="5">
        <f>G9*(1-Assumptions!C29)+H8</f>
        <v/>
      </c>
      <c r="I9" s="5">
        <f>H9*(1-Assumptions!C29)+I8</f>
        <v/>
      </c>
      <c r="J9" s="5">
        <f>I9*(1-Assumptions!C29)+J8</f>
        <v/>
      </c>
      <c r="K9" s="5">
        <f>J9*(1-Assumptions!C29)+K8</f>
        <v/>
      </c>
      <c r="L9" s="5">
        <f>K9*(1-Assumptions!C29)+L8</f>
        <v/>
      </c>
      <c r="M9" s="5">
        <f>L9*(1-Assumptions!C29)+M8</f>
        <v/>
      </c>
      <c r="N9" s="5">
        <f>M9</f>
        <v/>
      </c>
    </row>
    <row r="10">
      <c r="A10" s="4" t="inlineStr">
        <is>
          <t>ARPU per paying user / mo ($)</t>
        </is>
      </c>
      <c r="B10" s="15">
        <f>Assumptions!C23*Assumptions!C26+Assumptions!C24*(Assumptions!C27/12)+Assumptions!C25*Assumptions!C28</f>
        <v/>
      </c>
      <c r="C10" s="15">
        <f>Assumptions!C23*Assumptions!C26+Assumptions!C24*(Assumptions!C27/12)+Assumptions!C25*Assumptions!C28</f>
        <v/>
      </c>
      <c r="D10" s="15">
        <f>Assumptions!C23*Assumptions!C26+Assumptions!C24*(Assumptions!C27/12)+Assumptions!C25*Assumptions!C28</f>
        <v/>
      </c>
      <c r="E10" s="15">
        <f>Assumptions!C23*Assumptions!C26+Assumptions!C24*(Assumptions!C27/12)+Assumptions!C25*Assumptions!C28</f>
        <v/>
      </c>
      <c r="F10" s="15">
        <f>Assumptions!C23*Assumptions!C26+Assumptions!C24*(Assumptions!C27/12)+Assumptions!C25*Assumptions!C28</f>
        <v/>
      </c>
      <c r="G10" s="15">
        <f>Assumptions!C23*Assumptions!C26+Assumptions!C24*(Assumptions!C27/12)+Assumptions!C25*Assumptions!C28</f>
        <v/>
      </c>
      <c r="H10" s="15">
        <f>Assumptions!C23*Assumptions!C26+Assumptions!C24*(Assumptions!C27/12)+Assumptions!C25*Assumptions!C28</f>
        <v/>
      </c>
      <c r="I10" s="15">
        <f>Assumptions!C23*Assumptions!C26+Assumptions!C24*(Assumptions!C27/12)+Assumptions!C25*Assumptions!C28</f>
        <v/>
      </c>
      <c r="J10" s="15">
        <f>Assumptions!C23*Assumptions!C26+Assumptions!C24*(Assumptions!C27/12)+Assumptions!C25*Assumptions!C28</f>
        <v/>
      </c>
      <c r="K10" s="15">
        <f>Assumptions!C23*Assumptions!C26+Assumptions!C24*(Assumptions!C27/12)+Assumptions!C25*Assumptions!C28</f>
        <v/>
      </c>
      <c r="L10" s="15">
        <f>Assumptions!C23*Assumptions!C26+Assumptions!C24*(Assumptions!C27/12)+Assumptions!C25*Assumptions!C28</f>
        <v/>
      </c>
      <c r="M10" s="15">
        <f>Assumptions!C23*Assumptions!C26+Assumptions!C24*(Assumptions!C27/12)+Assumptions!C25*Assumptions!C28</f>
        <v/>
      </c>
      <c r="N10" s="15">
        <f>M10</f>
        <v/>
      </c>
    </row>
    <row r="11">
      <c r="A11" s="4" t="inlineStr">
        <is>
          <t>MRR ($)</t>
        </is>
      </c>
      <c r="B11" s="6">
        <f>B9*B10</f>
        <v/>
      </c>
      <c r="C11" s="6">
        <f>C9*C10</f>
        <v/>
      </c>
      <c r="D11" s="6">
        <f>D9*D10</f>
        <v/>
      </c>
      <c r="E11" s="6">
        <f>E9*E10</f>
        <v/>
      </c>
      <c r="F11" s="6">
        <f>F9*F10</f>
        <v/>
      </c>
      <c r="G11" s="6">
        <f>G9*G10</f>
        <v/>
      </c>
      <c r="H11" s="6">
        <f>H9*H10</f>
        <v/>
      </c>
      <c r="I11" s="6">
        <f>I9*I10</f>
        <v/>
      </c>
      <c r="J11" s="6">
        <f>J9*J10</f>
        <v/>
      </c>
      <c r="K11" s="6">
        <f>K9*K10</f>
        <v/>
      </c>
      <c r="L11" s="6">
        <f>L9*L10</f>
        <v/>
      </c>
      <c r="M11" s="6">
        <f>M9*M10</f>
        <v/>
      </c>
      <c r="N11" s="6">
        <f>M11</f>
        <v/>
      </c>
    </row>
    <row r="12">
      <c r="A12" s="4" t="inlineStr">
        <is>
          <t>Monthly revenue ($)</t>
        </is>
      </c>
      <c r="B12" s="6">
        <f>B11</f>
        <v/>
      </c>
      <c r="C12" s="6">
        <f>C11</f>
        <v/>
      </c>
      <c r="D12" s="6">
        <f>D11</f>
        <v/>
      </c>
      <c r="E12" s="6">
        <f>E11</f>
        <v/>
      </c>
      <c r="F12" s="6">
        <f>F11</f>
        <v/>
      </c>
      <c r="G12" s="6">
        <f>G11</f>
        <v/>
      </c>
      <c r="H12" s="6">
        <f>H11</f>
        <v/>
      </c>
      <c r="I12" s="6">
        <f>I11</f>
        <v/>
      </c>
      <c r="J12" s="6">
        <f>J11</f>
        <v/>
      </c>
      <c r="K12" s="6">
        <f>K11</f>
        <v/>
      </c>
      <c r="L12" s="6">
        <f>L11</f>
        <v/>
      </c>
      <c r="M12" s="6">
        <f>M11</f>
        <v/>
      </c>
      <c r="N12" s="6">
        <f>SUM(B12:M12)</f>
        <v/>
      </c>
    </row>
    <row r="13">
      <c r="A13" s="4" t="inlineStr">
        <is>
          <t>CAC spend ($)</t>
        </is>
      </c>
      <c r="B13" s="6">
        <f>B8*Assumptions!C30</f>
        <v/>
      </c>
      <c r="C13" s="6">
        <f>C8*Assumptions!C30</f>
        <v/>
      </c>
      <c r="D13" s="6">
        <f>D8*Assumptions!C30</f>
        <v/>
      </c>
      <c r="E13" s="6">
        <f>E8*Assumptions!C30</f>
        <v/>
      </c>
      <c r="F13" s="6">
        <f>F8*Assumptions!C30</f>
        <v/>
      </c>
      <c r="G13" s="6">
        <f>G8*Assumptions!C30</f>
        <v/>
      </c>
      <c r="H13" s="6">
        <f>H8*Assumptions!C30</f>
        <v/>
      </c>
      <c r="I13" s="6">
        <f>I8*Assumptions!C30</f>
        <v/>
      </c>
      <c r="J13" s="6">
        <f>J8*Assumptions!C30</f>
        <v/>
      </c>
      <c r="K13" s="6">
        <f>K8*Assumptions!C30</f>
        <v/>
      </c>
      <c r="L13" s="6">
        <f>L8*Assumptions!C30</f>
        <v/>
      </c>
      <c r="M13" s="6">
        <f>M8*Assumptions!C30</f>
        <v/>
      </c>
      <c r="N13" s="6">
        <f>SUM(B13:M13)</f>
        <v/>
      </c>
    </row>
    <row r="14">
      <c r="A14" s="4" t="inlineStr">
        <is>
          <t>Fixed monthly costs ($)</t>
        </is>
      </c>
      <c r="B14" s="6">
        <f>Assumptions!C31+Assumptions!C32</f>
        <v/>
      </c>
      <c r="C14" s="6">
        <f>Assumptions!C31+Assumptions!C32</f>
        <v/>
      </c>
      <c r="D14" s="6">
        <f>Assumptions!C31+Assumptions!C32</f>
        <v/>
      </c>
      <c r="E14" s="6">
        <f>Assumptions!C31+Assumptions!C32</f>
        <v/>
      </c>
      <c r="F14" s="6">
        <f>Assumptions!C31+Assumptions!C32</f>
        <v/>
      </c>
      <c r="G14" s="6">
        <f>Assumptions!C31+Assumptions!C32</f>
        <v/>
      </c>
      <c r="H14" s="6">
        <f>Assumptions!C31+Assumptions!C32</f>
        <v/>
      </c>
      <c r="I14" s="6">
        <f>Assumptions!C31+Assumptions!C32</f>
        <v/>
      </c>
      <c r="J14" s="6">
        <f>Assumptions!C31+Assumptions!C32</f>
        <v/>
      </c>
      <c r="K14" s="6">
        <f>Assumptions!C31+Assumptions!C32</f>
        <v/>
      </c>
      <c r="L14" s="6">
        <f>Assumptions!C31+Assumptions!C32</f>
        <v/>
      </c>
      <c r="M14" s="6">
        <f>Assumptions!C31+Assumptions!C32</f>
        <v/>
      </c>
      <c r="N14" s="6">
        <f>SUM(B14:M14)</f>
        <v/>
      </c>
    </row>
    <row r="15">
      <c r="A15" s="4" t="inlineStr">
        <is>
          <t>Net cash flow ($)</t>
        </is>
      </c>
      <c r="B15" s="6">
        <f>B12-B13-B14</f>
        <v/>
      </c>
      <c r="C15" s="6">
        <f>C12-C13-C14</f>
        <v/>
      </c>
      <c r="D15" s="6">
        <f>D12-D13-D14</f>
        <v/>
      </c>
      <c r="E15" s="6">
        <f>E12-E13-E14</f>
        <v/>
      </c>
      <c r="F15" s="6">
        <f>F12-F13-F14</f>
        <v/>
      </c>
      <c r="G15" s="6">
        <f>G12-G13-G14</f>
        <v/>
      </c>
      <c r="H15" s="6">
        <f>H12-H13-H14</f>
        <v/>
      </c>
      <c r="I15" s="6">
        <f>I12-I13-I14</f>
        <v/>
      </c>
      <c r="J15" s="6">
        <f>J12-J13-J14</f>
        <v/>
      </c>
      <c r="K15" s="6">
        <f>K12-K13-K14</f>
        <v/>
      </c>
      <c r="L15" s="6">
        <f>L12-L13-L14</f>
        <v/>
      </c>
      <c r="M15" s="6">
        <f>M12-M13-M14</f>
        <v/>
      </c>
      <c r="N15" s="6">
        <f>SUM(B15:M15)</f>
        <v/>
      </c>
    </row>
    <row r="16">
      <c r="A16" s="4" t="inlineStr">
        <is>
          <t>Cumulative cash ($)</t>
        </is>
      </c>
      <c r="B16" s="6">
        <f>B15</f>
        <v/>
      </c>
      <c r="C16" s="6">
        <f>B16+C15</f>
        <v/>
      </c>
      <c r="D16" s="6">
        <f>C16+D15</f>
        <v/>
      </c>
      <c r="E16" s="6">
        <f>D16+E15</f>
        <v/>
      </c>
      <c r="F16" s="6">
        <f>E16+F15</f>
        <v/>
      </c>
      <c r="G16" s="6">
        <f>F16+G15</f>
        <v/>
      </c>
      <c r="H16" s="6">
        <f>G16+H15</f>
        <v/>
      </c>
      <c r="I16" s="6">
        <f>H16+I15</f>
        <v/>
      </c>
      <c r="J16" s="6">
        <f>I16+J15</f>
        <v/>
      </c>
      <c r="K16" s="6">
        <f>J16+K15</f>
        <v/>
      </c>
      <c r="L16" s="6">
        <f>K16+L15</f>
        <v/>
      </c>
      <c r="M16" s="6">
        <f>L16+M15</f>
        <v/>
      </c>
      <c r="N16" s="6">
        <f>M16</f>
        <v/>
      </c>
    </row>
    <row r="19">
      <c r="A19" s="7" t="inlineStr">
        <is>
          <t>Year-end snapshot</t>
        </is>
      </c>
    </row>
    <row r="20">
      <c r="A20" t="inlineStr">
        <is>
          <t>Total downloads</t>
        </is>
      </c>
      <c r="B20" s="5">
        <f>N6</f>
        <v/>
      </c>
    </row>
    <row r="21">
      <c r="A21" t="inlineStr">
        <is>
          <t>Active paying users</t>
        </is>
      </c>
      <c r="B21" s="5">
        <f>M9</f>
        <v/>
      </c>
    </row>
    <row r="22">
      <c r="A22" t="inlineStr">
        <is>
          <t>MRR at month 12</t>
        </is>
      </c>
      <c r="B22" s="6">
        <f>M11</f>
        <v/>
      </c>
    </row>
    <row r="23">
      <c r="A23" t="inlineStr">
        <is>
          <t>ARR (MRR × 12)</t>
        </is>
      </c>
      <c r="B23" s="6">
        <f>B22*12</f>
        <v/>
      </c>
    </row>
    <row r="24">
      <c r="A24" t="inlineStr">
        <is>
          <t>Total revenue year 1</t>
        </is>
      </c>
      <c r="B24" s="6">
        <f>N12</f>
        <v/>
      </c>
    </row>
    <row r="25">
      <c r="A25" t="inlineStr">
        <is>
          <t>Total CAC spend</t>
        </is>
      </c>
      <c r="B25" s="6">
        <f>N13</f>
        <v/>
      </c>
    </row>
    <row r="26">
      <c r="A26" t="inlineStr">
        <is>
          <t>Total fixed costs</t>
        </is>
      </c>
      <c r="B26" s="6">
        <f>N14</f>
        <v/>
      </c>
    </row>
    <row r="27">
      <c r="A27" t="inlineStr">
        <is>
          <t>Net cash year 1</t>
        </is>
      </c>
      <c r="B27" s="6">
        <f>N15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2026-05-27T13:44:32Z</dcterms:created>
  <dcterms:modified xmlns:dcterms="http://purl.org/dc/terms/" xmlns:xsi="http://www.w3.org/2001/XMLSchema-instance" xsi:type="dcterms:W3CDTF">2026-05-27T13:44:32Z</dcterms:modified>
</cp:coreProperties>
</file>